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elf_learning\MS\Excel\20260129\"/>
    </mc:Choice>
  </mc:AlternateContent>
  <xr:revisionPtr revIDLastSave="0" documentId="8_{7A661AC5-1E72-4B69-B7F0-C396E8ECA762}" xr6:coauthVersionLast="47" xr6:coauthVersionMax="47" xr10:uidLastSave="{00000000-0000-0000-0000-000000000000}"/>
  <bookViews>
    <workbookView xWindow="-120" yWindow="-120" windowWidth="29040" windowHeight="15720" activeTab="1" xr2:uid="{54EAAB57-3306-4CEC-BFAA-12CE1C345AC5}"/>
  </bookViews>
  <sheets>
    <sheet name="Sheet1" sheetId="1" r:id="rId1"/>
    <sheet name="Sheet2" sheetId="2" r:id="rId2"/>
  </sheets>
  <calcPr calcId="191029" concurrentManualCount="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T14" i="2"/>
  <c r="R14" i="2"/>
  <c r="K14" i="2"/>
  <c r="L14" i="2"/>
  <c r="M14" i="2"/>
  <c r="N14" i="2"/>
  <c r="O14" i="2"/>
  <c r="K15" i="2"/>
  <c r="L15" i="2"/>
  <c r="M15" i="2"/>
  <c r="N15" i="2"/>
  <c r="O15" i="2"/>
  <c r="K16" i="2"/>
  <c r="L16" i="2"/>
  <c r="M16" i="2"/>
  <c r="N16" i="2"/>
  <c r="O16" i="2"/>
  <c r="J16" i="2"/>
  <c r="J15" i="2"/>
  <c r="J14" i="2"/>
  <c r="G15" i="2"/>
  <c r="C14" i="2"/>
  <c r="D14" i="2"/>
  <c r="E14" i="2"/>
  <c r="F14" i="2"/>
  <c r="G14" i="2"/>
  <c r="C15" i="2"/>
  <c r="D15" i="2"/>
  <c r="E15" i="2"/>
  <c r="F15" i="2"/>
  <c r="C16" i="2"/>
  <c r="D16" i="2"/>
  <c r="E16" i="2"/>
  <c r="F16" i="2"/>
  <c r="G16" i="2"/>
  <c r="B16" i="2"/>
  <c r="B15" i="2"/>
  <c r="B14" i="2"/>
  <c r="O12" i="1"/>
  <c r="N12" i="1"/>
  <c r="M12" i="1"/>
  <c r="L12" i="1"/>
  <c r="K12" i="1"/>
  <c r="J12" i="1"/>
  <c r="O11" i="1"/>
  <c r="N11" i="1"/>
  <c r="M11" i="1"/>
  <c r="L11" i="1"/>
  <c r="K11" i="1"/>
  <c r="J11" i="1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O4" i="1"/>
  <c r="N4" i="1"/>
  <c r="M4" i="1"/>
  <c r="L4" i="1"/>
  <c r="K4" i="1"/>
  <c r="J4" i="1"/>
  <c r="O3" i="1"/>
  <c r="N3" i="1"/>
  <c r="M3" i="1"/>
  <c r="L3" i="1"/>
  <c r="K3" i="1"/>
  <c r="J3" i="1"/>
  <c r="O2" i="1"/>
  <c r="N2" i="1"/>
  <c r="M2" i="1"/>
  <c r="L2" i="1"/>
  <c r="K2" i="1"/>
  <c r="J2" i="1"/>
  <c r="B3" i="1"/>
  <c r="C3" i="1"/>
  <c r="D3" i="1"/>
  <c r="E3" i="1"/>
  <c r="F3" i="1"/>
  <c r="G3" i="1"/>
  <c r="B4" i="1"/>
  <c r="C4" i="1"/>
  <c r="D4" i="1"/>
  <c r="E4" i="1"/>
  <c r="F4" i="1"/>
  <c r="G4" i="1"/>
  <c r="B5" i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C2" i="1"/>
  <c r="D2" i="1"/>
  <c r="E2" i="1"/>
  <c r="F2" i="1"/>
  <c r="G2" i="1"/>
  <c r="B2" i="1"/>
  <c r="D14" i="1" l="1"/>
  <c r="F14" i="1"/>
  <c r="K15" i="1"/>
  <c r="L15" i="1"/>
  <c r="M15" i="1"/>
  <c r="O15" i="1"/>
  <c r="M16" i="1"/>
  <c r="L16" i="1"/>
  <c r="O16" i="1"/>
  <c r="N15" i="1"/>
  <c r="N16" i="1"/>
  <c r="K16" i="1"/>
  <c r="J16" i="1"/>
  <c r="L14" i="1"/>
  <c r="J15" i="1"/>
  <c r="G15" i="1"/>
  <c r="O14" i="1"/>
  <c r="K14" i="1"/>
  <c r="M14" i="1"/>
  <c r="N14" i="1"/>
  <c r="J14" i="1"/>
  <c r="E16" i="1"/>
  <c r="F15" i="1"/>
  <c r="C15" i="1"/>
  <c r="C14" i="1"/>
  <c r="G14" i="1"/>
  <c r="E14" i="1"/>
  <c r="F16" i="1"/>
  <c r="G16" i="1"/>
  <c r="D15" i="1"/>
  <c r="C16" i="1"/>
  <c r="D16" i="1"/>
  <c r="E15" i="1"/>
  <c r="B16" i="1"/>
  <c r="B15" i="1"/>
  <c r="B14" i="1"/>
</calcChain>
</file>

<file path=xl/sharedStrings.xml><?xml version="1.0" encoding="utf-8"?>
<sst xmlns="http://schemas.openxmlformats.org/spreadsheetml/2006/main" count="84" uniqueCount="13">
  <si>
    <t>类型</t>
  </si>
  <si>
    <t>A</t>
  </si>
  <si>
    <t>B</t>
  </si>
  <si>
    <t>C</t>
  </si>
  <si>
    <t>一月</t>
  </si>
  <si>
    <t>二月</t>
  </si>
  <si>
    <t>三月</t>
  </si>
  <si>
    <t>四月</t>
  </si>
  <si>
    <t>五月</t>
  </si>
  <si>
    <t>六月</t>
  </si>
  <si>
    <t>Sumif-B</t>
  </si>
  <si>
    <t>Sumif-C</t>
  </si>
  <si>
    <t>Sumif-A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</si>
</sst>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C25CC-8CED-46A5-8E28-7F68B1C5DE32}" name="Table1" displayName="Table1" ref="I1:O12" totalsRowShown="0">
  <autoFilter ref="I1:O12" xr:uid="{01AC25CC-8CED-46A5-8E28-7F68B1C5DE32}"/>
  <tableColumns count="7">
    <tableColumn id="1" xr3:uid="{EBBF2B58-E6FB-4DE4-A808-9C5EBF27DB2F}" name="类型"/>
    <tableColumn id="2" xr3:uid="{0B2F011A-C21A-4F01-969D-6A09F6C6B681}" name="一月">
      <calculatedColumnFormula>ROUND(RAND()*100,2)</calculatedColumnFormula>
    </tableColumn>
    <tableColumn id="3" xr3:uid="{8D29618E-90C0-4C32-9087-4741449A4AD2}" name="二月">
      <calculatedColumnFormula>ROUND(RAND()*100,2)</calculatedColumnFormula>
    </tableColumn>
    <tableColumn id="4" xr3:uid="{133770D6-CD38-4021-A489-215B75861AF2}" name="三月">
      <calculatedColumnFormula>ROUND(RAND()*100,2)</calculatedColumnFormula>
    </tableColumn>
    <tableColumn id="5" xr3:uid="{A63B0A38-8F2E-41CA-A3DF-41E76CAA03D1}" name="四月">
      <calculatedColumnFormula>ROUND(RAND()*100,2)</calculatedColumnFormula>
    </tableColumn>
    <tableColumn id="6" xr3:uid="{E96A8EF3-CA81-4574-9C8F-5140D9A19C97}" name="五月">
      <calculatedColumnFormula>ROUND(RAND()*100,2)</calculatedColumnFormula>
    </tableColumn>
    <tableColumn id="7" xr3:uid="{00655601-762A-4014-8B84-ED4A55925003}" name="六月">
      <calculatedColumnFormula>ROUND(RAND()*100,2)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7E7F8-2A7A-4D44-919E-0ED383E85F98}" name="Table2" displayName="Table2" ref="I1:O12" totalsRowShown="0" headerRowDxfId="0" headerRowBorderDxfId="9" tableBorderDxfId="10" totalsRowBorderDxfId="8">
  <autoFilter ref="I1:O12" xr:uid="{2A27E7F8-2A7A-4D44-919E-0ED383E85F98}"/>
  <tableColumns count="7">
    <tableColumn id="1" xr3:uid="{3D6F066E-1A64-4350-8BFE-7154240B71FB}" name="类型" dataDxfId="7"/>
    <tableColumn id="2" xr3:uid="{E87859A6-8065-4DE2-86AF-DFAD31F29957}" name="一月" dataDxfId="6"/>
    <tableColumn id="3" xr3:uid="{134ECC0A-70DE-4560-ACD3-376FC68D9B12}" name="二月" dataDxfId="5"/>
    <tableColumn id="4" xr3:uid="{F7F84CF7-A7F7-4783-BD3D-9F175D485E30}" name="三月" dataDxfId="4"/>
    <tableColumn id="5" xr3:uid="{D3F8E3D0-F38C-4145-A9BB-921A7877970C}" name="四月" dataDxfId="3"/>
    <tableColumn id="6" xr3:uid="{FBA019EC-ABCC-48C1-B7FD-6B339401AB62}" name="五月" dataDxfId="2"/>
    <tableColumn id="7" xr3:uid="{9631E368-A817-450A-947A-D1248F02D237}" name="六月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3041-A38A-4EE1-9489-21F5F1E3BA4F}">
  <dimension ref="A1:O16"/>
  <sheetViews>
    <sheetView workbookViewId="0">
      <selection activeCell="A14" sqref="A14:A16"/>
    </sheetView>
  </sheetViews>
  <sheetFormatPr defaultRowHeight="14.4" x14ac:dyDescent="0.3"/>
  <sheetData>
    <row r="1" spans="1:1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I1" t="s">
        <v>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s="1" t="s">
        <v>1</v>
      </c>
      <c r="B2" s="1">
        <f ca="1">ROUND(RAND()*100,2)</f>
        <v>53.32</v>
      </c>
      <c r="C2" s="1">
        <f t="shared" ref="C2:G12" ca="1" si="0">ROUND(RAND()*100,2)</f>
        <v>95.58</v>
      </c>
      <c r="D2" s="1">
        <f t="shared" ca="1" si="0"/>
        <v>66.5</v>
      </c>
      <c r="E2" s="1">
        <f t="shared" ca="1" si="0"/>
        <v>71.62</v>
      </c>
      <c r="F2" s="1">
        <f t="shared" ca="1" si="0"/>
        <v>40.24</v>
      </c>
      <c r="G2" s="1">
        <f t="shared" ca="1" si="0"/>
        <v>67.78</v>
      </c>
      <c r="I2" t="s">
        <v>1</v>
      </c>
      <c r="J2">
        <f ca="1">ROUND(RAND()*100,2)</f>
        <v>62.32</v>
      </c>
      <c r="K2">
        <f t="shared" ref="K2:O12" ca="1" si="1">ROUND(RAND()*100,2)</f>
        <v>8.67</v>
      </c>
      <c r="L2">
        <f t="shared" ca="1" si="1"/>
        <v>44.23</v>
      </c>
      <c r="M2">
        <f t="shared" ca="1" si="1"/>
        <v>42.12</v>
      </c>
      <c r="N2">
        <f t="shared" ca="1" si="1"/>
        <v>81.47</v>
      </c>
      <c r="O2">
        <f t="shared" ca="1" si="1"/>
        <v>11.84</v>
      </c>
    </row>
    <row r="3" spans="1:15" x14ac:dyDescent="0.3">
      <c r="A3" s="1" t="s">
        <v>1</v>
      </c>
      <c r="B3" s="1">
        <f t="shared" ref="B3:B12" ca="1" si="2">ROUND(RAND()*100,2)</f>
        <v>42.47</v>
      </c>
      <c r="C3" s="1">
        <f t="shared" ca="1" si="0"/>
        <v>34.64</v>
      </c>
      <c r="D3" s="1">
        <f t="shared" ca="1" si="0"/>
        <v>86.4</v>
      </c>
      <c r="E3" s="1">
        <f t="shared" ca="1" si="0"/>
        <v>84.64</v>
      </c>
      <c r="F3" s="1">
        <f t="shared" ca="1" si="0"/>
        <v>32.659999999999997</v>
      </c>
      <c r="G3" s="1">
        <f t="shared" ca="1" si="0"/>
        <v>89.98</v>
      </c>
      <c r="I3" t="s">
        <v>1</v>
      </c>
      <c r="J3">
        <f t="shared" ref="J3:J12" ca="1" si="3">ROUND(RAND()*100,2)</f>
        <v>37.97</v>
      </c>
      <c r="K3">
        <f t="shared" ca="1" si="1"/>
        <v>80.069999999999993</v>
      </c>
      <c r="L3">
        <f t="shared" ca="1" si="1"/>
        <v>23.34</v>
      </c>
      <c r="M3">
        <f t="shared" ca="1" si="1"/>
        <v>14.97</v>
      </c>
      <c r="N3">
        <f t="shared" ca="1" si="1"/>
        <v>2.9</v>
      </c>
      <c r="O3">
        <f t="shared" ca="1" si="1"/>
        <v>48.6</v>
      </c>
    </row>
    <row r="4" spans="1:15" x14ac:dyDescent="0.3">
      <c r="A4" s="1" t="s">
        <v>2</v>
      </c>
      <c r="B4" s="1">
        <f t="shared" ca="1" si="2"/>
        <v>60.57</v>
      </c>
      <c r="C4" s="1">
        <f t="shared" ca="1" si="0"/>
        <v>83.27</v>
      </c>
      <c r="D4" s="1">
        <f t="shared" ca="1" si="0"/>
        <v>89.23</v>
      </c>
      <c r="E4" s="1">
        <f t="shared" ca="1" si="0"/>
        <v>43.53</v>
      </c>
      <c r="F4" s="1">
        <f t="shared" ca="1" si="0"/>
        <v>32.1</v>
      </c>
      <c r="G4" s="1">
        <f t="shared" ca="1" si="0"/>
        <v>10.63</v>
      </c>
      <c r="I4" t="s">
        <v>2</v>
      </c>
      <c r="J4">
        <f t="shared" ca="1" si="3"/>
        <v>87.18</v>
      </c>
      <c r="K4">
        <f t="shared" ca="1" si="1"/>
        <v>32.76</v>
      </c>
      <c r="L4">
        <f t="shared" ca="1" si="1"/>
        <v>99.28</v>
      </c>
      <c r="M4">
        <f t="shared" ca="1" si="1"/>
        <v>46.22</v>
      </c>
      <c r="N4">
        <f t="shared" ca="1" si="1"/>
        <v>72.19</v>
      </c>
      <c r="O4">
        <f t="shared" ca="1" si="1"/>
        <v>16.71</v>
      </c>
    </row>
    <row r="5" spans="1:15" x14ac:dyDescent="0.3">
      <c r="A5" s="1" t="s">
        <v>3</v>
      </c>
      <c r="B5" s="1">
        <f t="shared" ca="1" si="2"/>
        <v>80.25</v>
      </c>
      <c r="C5" s="1">
        <f t="shared" ca="1" si="0"/>
        <v>34.340000000000003</v>
      </c>
      <c r="D5" s="1">
        <f t="shared" ca="1" si="0"/>
        <v>71.44</v>
      </c>
      <c r="E5" s="1">
        <f t="shared" ca="1" si="0"/>
        <v>17.309999999999999</v>
      </c>
      <c r="F5" s="1">
        <f t="shared" ca="1" si="0"/>
        <v>99.62</v>
      </c>
      <c r="G5" s="1">
        <f t="shared" ca="1" si="0"/>
        <v>10.48</v>
      </c>
      <c r="I5" t="s">
        <v>3</v>
      </c>
      <c r="J5">
        <f t="shared" ca="1" si="3"/>
        <v>74.37</v>
      </c>
      <c r="K5">
        <f t="shared" ca="1" si="1"/>
        <v>17.54</v>
      </c>
      <c r="L5">
        <f t="shared" ca="1" si="1"/>
        <v>94.1</v>
      </c>
      <c r="M5">
        <f t="shared" ca="1" si="1"/>
        <v>8.65</v>
      </c>
      <c r="N5">
        <f t="shared" ca="1" si="1"/>
        <v>18.079999999999998</v>
      </c>
      <c r="O5">
        <f t="shared" ca="1" si="1"/>
        <v>34.450000000000003</v>
      </c>
    </row>
    <row r="6" spans="1:15" x14ac:dyDescent="0.3">
      <c r="A6" s="1" t="s">
        <v>2</v>
      </c>
      <c r="B6" s="1">
        <f t="shared" ca="1" si="2"/>
        <v>27.68</v>
      </c>
      <c r="C6" s="1">
        <f t="shared" ca="1" si="0"/>
        <v>90.6</v>
      </c>
      <c r="D6" s="1">
        <f t="shared" ca="1" si="0"/>
        <v>0.85</v>
      </c>
      <c r="E6" s="1">
        <f t="shared" ca="1" si="0"/>
        <v>18.57</v>
      </c>
      <c r="F6" s="1">
        <f t="shared" ca="1" si="0"/>
        <v>22.88</v>
      </c>
      <c r="G6" s="1">
        <f t="shared" ca="1" si="0"/>
        <v>22.37</v>
      </c>
      <c r="I6" t="s">
        <v>2</v>
      </c>
      <c r="J6">
        <f t="shared" ca="1" si="3"/>
        <v>96.46</v>
      </c>
      <c r="K6">
        <f t="shared" ca="1" si="1"/>
        <v>90.84</v>
      </c>
      <c r="L6">
        <f t="shared" ca="1" si="1"/>
        <v>72.569999999999993</v>
      </c>
      <c r="M6">
        <f t="shared" ca="1" si="1"/>
        <v>78.12</v>
      </c>
      <c r="N6">
        <f t="shared" ca="1" si="1"/>
        <v>38.090000000000003</v>
      </c>
      <c r="O6">
        <f t="shared" ca="1" si="1"/>
        <v>89.1</v>
      </c>
    </row>
    <row r="7" spans="1:15" x14ac:dyDescent="0.3">
      <c r="A7" s="1" t="s">
        <v>1</v>
      </c>
      <c r="B7" s="1">
        <f t="shared" ca="1" si="2"/>
        <v>6.83</v>
      </c>
      <c r="C7" s="1">
        <f t="shared" ca="1" si="0"/>
        <v>16.41</v>
      </c>
      <c r="D7" s="1">
        <f t="shared" ca="1" si="0"/>
        <v>79.459999999999994</v>
      </c>
      <c r="E7" s="1">
        <f t="shared" ca="1" si="0"/>
        <v>62.73</v>
      </c>
      <c r="F7" s="1">
        <f t="shared" ca="1" si="0"/>
        <v>86.75</v>
      </c>
      <c r="G7" s="1">
        <f t="shared" ca="1" si="0"/>
        <v>36.06</v>
      </c>
      <c r="I7" t="s">
        <v>1</v>
      </c>
      <c r="J7">
        <f t="shared" ca="1" si="3"/>
        <v>15.14</v>
      </c>
      <c r="K7">
        <f t="shared" ca="1" si="1"/>
        <v>12</v>
      </c>
      <c r="L7">
        <f t="shared" ca="1" si="1"/>
        <v>5.89</v>
      </c>
      <c r="M7">
        <f t="shared" ca="1" si="1"/>
        <v>21.68</v>
      </c>
      <c r="N7">
        <f t="shared" ca="1" si="1"/>
        <v>53.28</v>
      </c>
      <c r="O7">
        <f t="shared" ca="1" si="1"/>
        <v>93.57</v>
      </c>
    </row>
    <row r="8" spans="1:15" x14ac:dyDescent="0.3">
      <c r="A8" s="1" t="s">
        <v>3</v>
      </c>
      <c r="B8" s="1">
        <f t="shared" ca="1" si="2"/>
        <v>86.06</v>
      </c>
      <c r="C8" s="1">
        <f t="shared" ca="1" si="0"/>
        <v>91.45</v>
      </c>
      <c r="D8" s="1">
        <f t="shared" ca="1" si="0"/>
        <v>65.849999999999994</v>
      </c>
      <c r="E8" s="1">
        <f t="shared" ca="1" si="0"/>
        <v>69.86</v>
      </c>
      <c r="F8" s="1">
        <f t="shared" ca="1" si="0"/>
        <v>65.44</v>
      </c>
      <c r="G8" s="1">
        <f t="shared" ca="1" si="0"/>
        <v>25.56</v>
      </c>
      <c r="I8" t="s">
        <v>3</v>
      </c>
      <c r="J8">
        <f t="shared" ca="1" si="3"/>
        <v>11.49</v>
      </c>
      <c r="K8">
        <f t="shared" ca="1" si="1"/>
        <v>7.03</v>
      </c>
      <c r="L8">
        <f t="shared" ca="1" si="1"/>
        <v>3.27</v>
      </c>
      <c r="M8">
        <f t="shared" ca="1" si="1"/>
        <v>62.26</v>
      </c>
      <c r="N8">
        <f t="shared" ca="1" si="1"/>
        <v>26.24</v>
      </c>
      <c r="O8">
        <f t="shared" ca="1" si="1"/>
        <v>2.58</v>
      </c>
    </row>
    <row r="9" spans="1:15" x14ac:dyDescent="0.3">
      <c r="A9" s="1" t="s">
        <v>3</v>
      </c>
      <c r="B9" s="1">
        <f t="shared" ca="1" si="2"/>
        <v>4.8899999999999997</v>
      </c>
      <c r="C9" s="1">
        <f t="shared" ca="1" si="0"/>
        <v>8.08</v>
      </c>
      <c r="D9" s="1">
        <f t="shared" ca="1" si="0"/>
        <v>26.4</v>
      </c>
      <c r="E9" s="1">
        <f t="shared" ca="1" si="0"/>
        <v>85.61</v>
      </c>
      <c r="F9" s="1">
        <f t="shared" ca="1" si="0"/>
        <v>51.07</v>
      </c>
      <c r="G9" s="1">
        <f t="shared" ca="1" si="0"/>
        <v>52.42</v>
      </c>
      <c r="I9" t="s">
        <v>3</v>
      </c>
      <c r="J9">
        <f t="shared" ca="1" si="3"/>
        <v>90.61</v>
      </c>
      <c r="K9">
        <f t="shared" ca="1" si="1"/>
        <v>31.83</v>
      </c>
      <c r="L9">
        <f t="shared" ca="1" si="1"/>
        <v>45.56</v>
      </c>
      <c r="M9">
        <f t="shared" ca="1" si="1"/>
        <v>26.44</v>
      </c>
      <c r="N9">
        <f t="shared" ca="1" si="1"/>
        <v>77.099999999999994</v>
      </c>
      <c r="O9">
        <f t="shared" ca="1" si="1"/>
        <v>66.239999999999995</v>
      </c>
    </row>
    <row r="10" spans="1:15" x14ac:dyDescent="0.3">
      <c r="A10" s="1" t="s">
        <v>2</v>
      </c>
      <c r="B10" s="1">
        <f t="shared" ca="1" si="2"/>
        <v>45.14</v>
      </c>
      <c r="C10" s="1">
        <f t="shared" ca="1" si="0"/>
        <v>27.92</v>
      </c>
      <c r="D10" s="1">
        <f t="shared" ca="1" si="0"/>
        <v>83.61</v>
      </c>
      <c r="E10" s="1">
        <f t="shared" ca="1" si="0"/>
        <v>38.31</v>
      </c>
      <c r="F10" s="1">
        <f t="shared" ca="1" si="0"/>
        <v>61.47</v>
      </c>
      <c r="G10" s="1">
        <f t="shared" ca="1" si="0"/>
        <v>60.56</v>
      </c>
      <c r="I10" t="s">
        <v>2</v>
      </c>
      <c r="J10">
        <f t="shared" ca="1" si="3"/>
        <v>87.6</v>
      </c>
      <c r="K10">
        <f t="shared" ca="1" si="1"/>
        <v>52</v>
      </c>
      <c r="L10">
        <f t="shared" ca="1" si="1"/>
        <v>88.4</v>
      </c>
      <c r="M10">
        <f t="shared" ca="1" si="1"/>
        <v>57.72</v>
      </c>
      <c r="N10">
        <f t="shared" ca="1" si="1"/>
        <v>78.56</v>
      </c>
      <c r="O10">
        <f t="shared" ca="1" si="1"/>
        <v>42.2</v>
      </c>
    </row>
    <row r="11" spans="1:15" x14ac:dyDescent="0.3">
      <c r="A11" s="1" t="s">
        <v>1</v>
      </c>
      <c r="B11" s="1">
        <f t="shared" ca="1" si="2"/>
        <v>34.9</v>
      </c>
      <c r="C11" s="1">
        <f t="shared" ca="1" si="0"/>
        <v>92.9</v>
      </c>
      <c r="D11" s="1">
        <f t="shared" ca="1" si="0"/>
        <v>30.28</v>
      </c>
      <c r="E11" s="1">
        <f t="shared" ca="1" si="0"/>
        <v>75.209999999999994</v>
      </c>
      <c r="F11" s="1">
        <f t="shared" ca="1" si="0"/>
        <v>5.07</v>
      </c>
      <c r="G11" s="1">
        <f t="shared" ca="1" si="0"/>
        <v>82.13</v>
      </c>
      <c r="I11" t="s">
        <v>1</v>
      </c>
      <c r="J11">
        <f t="shared" ca="1" si="3"/>
        <v>3.12</v>
      </c>
      <c r="K11">
        <f t="shared" ca="1" si="1"/>
        <v>21.36</v>
      </c>
      <c r="L11">
        <f t="shared" ca="1" si="1"/>
        <v>61.48</v>
      </c>
      <c r="M11">
        <f t="shared" ca="1" si="1"/>
        <v>38.99</v>
      </c>
      <c r="N11">
        <f t="shared" ca="1" si="1"/>
        <v>3.2</v>
      </c>
      <c r="O11">
        <f t="shared" ca="1" si="1"/>
        <v>33.39</v>
      </c>
    </row>
    <row r="12" spans="1:15" x14ac:dyDescent="0.3">
      <c r="A12" s="1" t="s">
        <v>1</v>
      </c>
      <c r="B12" s="1">
        <f t="shared" ca="1" si="2"/>
        <v>85.52</v>
      </c>
      <c r="C12" s="1">
        <f t="shared" ca="1" si="0"/>
        <v>79.83</v>
      </c>
      <c r="D12" s="1">
        <f t="shared" ca="1" si="0"/>
        <v>86.56</v>
      </c>
      <c r="E12" s="1">
        <f t="shared" ca="1" si="0"/>
        <v>77.790000000000006</v>
      </c>
      <c r="F12" s="1">
        <f t="shared" ca="1" si="0"/>
        <v>70.7</v>
      </c>
      <c r="G12" s="1">
        <f t="shared" ca="1" si="0"/>
        <v>35.86</v>
      </c>
      <c r="I12" t="s">
        <v>1</v>
      </c>
      <c r="J12">
        <f t="shared" ca="1" si="3"/>
        <v>97.52</v>
      </c>
      <c r="K12">
        <f t="shared" ca="1" si="1"/>
        <v>57.46</v>
      </c>
      <c r="L12">
        <f t="shared" ca="1" si="1"/>
        <v>85.61</v>
      </c>
      <c r="M12">
        <f t="shared" ca="1" si="1"/>
        <v>27.38</v>
      </c>
      <c r="N12">
        <f t="shared" ca="1" si="1"/>
        <v>3.73</v>
      </c>
      <c r="O12">
        <f t="shared" ca="1" si="1"/>
        <v>38.340000000000003</v>
      </c>
    </row>
    <row r="14" spans="1:15" x14ac:dyDescent="0.3">
      <c r="A14" s="1" t="s">
        <v>12</v>
      </c>
      <c r="B14" s="1">
        <f ca="1">SUMIF($A$2:$A$12,"A",B$2:B$12)</f>
        <v>223.03999999999996</v>
      </c>
      <c r="C14" s="1">
        <f t="shared" ref="C14:F14" ca="1" si="4">SUMIF($A$2:$A$12,"A",C$2:C$12)</f>
        <v>319.36</v>
      </c>
      <c r="D14" s="1">
        <f t="shared" ca="1" si="4"/>
        <v>349.2</v>
      </c>
      <c r="E14" s="1">
        <f t="shared" ca="1" si="4"/>
        <v>371.99</v>
      </c>
      <c r="F14" s="1">
        <f t="shared" ca="1" si="4"/>
        <v>235.42000000000002</v>
      </c>
      <c r="G14" s="1">
        <f ca="1">SUMIF($A$2:$A$12,"A",G$2:G$12)</f>
        <v>311.81</v>
      </c>
      <c r="I14" s="1" t="s">
        <v>12</v>
      </c>
      <c r="J14" s="1">
        <f ca="1">SUMIF(Table1[[类型]:[类型]],"A",Table1[一月])</f>
        <v>216.07</v>
      </c>
      <c r="K14" s="1">
        <f ca="1">SUMIF(Table1[[类型]:[类型]],"A",Table1[二月])</f>
        <v>179.56</v>
      </c>
      <c r="L14" s="1">
        <f ca="1">SUMIF(Table1[[类型]:[类型]],"A",Table1[三月])</f>
        <v>220.55</v>
      </c>
      <c r="M14" s="1">
        <f ca="1">SUMIF(Table1[[类型]:[类型]],"A",Table1[四月])</f>
        <v>145.13999999999999</v>
      </c>
      <c r="N14" s="1">
        <f ca="1">SUMIF(Table1[[类型]:[类型]],"A",Table1[五月])</f>
        <v>144.57999999999998</v>
      </c>
      <c r="O14" s="1">
        <f ca="1">SUMIF(Table1[[类型]:[类型]],"A",Table1[六月])</f>
        <v>225.73999999999998</v>
      </c>
    </row>
    <row r="15" spans="1:15" x14ac:dyDescent="0.3">
      <c r="A15" s="1" t="s">
        <v>10</v>
      </c>
      <c r="B15" s="1">
        <f ca="1">SUMIF($A$2:$A$12,"B",B$2:B$12)</f>
        <v>133.38999999999999</v>
      </c>
      <c r="C15" s="1">
        <f t="shared" ref="C15:G15" ca="1" si="5">SUMIF($A$2:$A$12,"B",C$2:C$12)</f>
        <v>201.79000000000002</v>
      </c>
      <c r="D15" s="1">
        <f t="shared" ca="1" si="5"/>
        <v>173.69</v>
      </c>
      <c r="E15" s="1">
        <f t="shared" ca="1" si="5"/>
        <v>100.41</v>
      </c>
      <c r="F15" s="1">
        <f t="shared" ca="1" si="5"/>
        <v>116.45</v>
      </c>
      <c r="G15" s="1">
        <f t="shared" ca="1" si="5"/>
        <v>93.56</v>
      </c>
      <c r="I15" s="1" t="s">
        <v>10</v>
      </c>
      <c r="J15" s="1">
        <f ca="1">SUMIF(Table1[[类型]:[类型]],"B",Table1[一月])</f>
        <v>271.24</v>
      </c>
      <c r="K15" s="1">
        <f ca="1">SUMIF(Table1[[类型]:[类型]],"B",Table1[二月])</f>
        <v>175.6</v>
      </c>
      <c r="L15" s="1">
        <f ca="1">SUMIF(Table1[[类型]:[类型]],"B",Table1[三月])</f>
        <v>260.25</v>
      </c>
      <c r="M15" s="1">
        <f ca="1">SUMIF(Table1[[类型]:[类型]],"B",Table1[四月])</f>
        <v>182.06</v>
      </c>
      <c r="N15" s="1">
        <f ca="1">SUMIF(Table1[[类型]:[类型]],"B",Table1[五月])</f>
        <v>188.84</v>
      </c>
      <c r="O15" s="1">
        <f ca="1">SUMIF(Table1[[类型]:[类型]],"B",Table1[六月])</f>
        <v>148.01</v>
      </c>
    </row>
    <row r="16" spans="1:15" x14ac:dyDescent="0.3">
      <c r="A16" s="1" t="s">
        <v>11</v>
      </c>
      <c r="B16" s="1">
        <f ca="1">SUMIF($A$2:$A$12,"C",B$2:B$12)</f>
        <v>171.2</v>
      </c>
      <c r="C16" s="1">
        <f t="shared" ref="C16:G16" ca="1" si="6">SUMIF($A$2:$A$12,"C",C$2:C$12)</f>
        <v>133.87</v>
      </c>
      <c r="D16" s="1">
        <f t="shared" ca="1" si="6"/>
        <v>163.69</v>
      </c>
      <c r="E16" s="1">
        <f t="shared" ca="1" si="6"/>
        <v>172.78</v>
      </c>
      <c r="F16" s="1">
        <f t="shared" ca="1" si="6"/>
        <v>216.13</v>
      </c>
      <c r="G16" s="1">
        <f t="shared" ca="1" si="6"/>
        <v>88.460000000000008</v>
      </c>
      <c r="I16" s="1" t="s">
        <v>11</v>
      </c>
      <c r="J16" s="1">
        <f ca="1">SUMIF(Table1[[类型]:[类型]],"C",Table1[一月])</f>
        <v>176.47</v>
      </c>
      <c r="K16" s="1">
        <f ca="1">SUMIF(Table1[[类型]:[类型]],"C",Table1[二月])</f>
        <v>56.4</v>
      </c>
      <c r="L16" s="1">
        <f ca="1">SUMIF(Table1[[类型]:[类型]],"C",Table1[三月])</f>
        <v>142.93</v>
      </c>
      <c r="M16" s="1">
        <f ca="1">SUMIF(Table1[[类型]:[类型]],"C",Table1[四月])</f>
        <v>97.35</v>
      </c>
      <c r="N16" s="1">
        <f ca="1">SUMIF(Table1[[类型]:[类型]],"C",Table1[五月])</f>
        <v>121.41999999999999</v>
      </c>
      <c r="O16" s="1">
        <f ca="1">SUMIF(Table1[[类型]:[类型]],"C",Table1[六月])</f>
        <v>103.27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F878-E5E6-44CA-B8BD-872018407124}">
  <dimension ref="A1:T16"/>
  <sheetViews>
    <sheetView tabSelected="1" workbookViewId="0">
      <selection activeCell="T14" sqref="T14"/>
    </sheetView>
  </sheetViews>
  <sheetFormatPr defaultRowHeight="14.4" x14ac:dyDescent="0.3"/>
  <sheetData>
    <row r="1" spans="1:20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I1" s="4" t="s">
        <v>0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6" t="s">
        <v>9</v>
      </c>
    </row>
    <row r="2" spans="1:20" x14ac:dyDescent="0.3">
      <c r="A2" s="1" t="s">
        <v>1</v>
      </c>
      <c r="B2" s="1">
        <v>56.77</v>
      </c>
      <c r="C2" s="1">
        <v>79.349999999999994</v>
      </c>
      <c r="D2" s="1">
        <v>37.31</v>
      </c>
      <c r="E2" s="1">
        <v>18.059999999999999</v>
      </c>
      <c r="F2" s="1">
        <v>70.239999999999995</v>
      </c>
      <c r="G2" s="1">
        <v>14.88</v>
      </c>
      <c r="I2" s="2" t="s">
        <v>1</v>
      </c>
      <c r="J2" s="1">
        <v>56.77</v>
      </c>
      <c r="K2" s="1">
        <v>79.349999999999994</v>
      </c>
      <c r="L2" s="1">
        <v>37.31</v>
      </c>
      <c r="M2" s="1">
        <v>18.059999999999999</v>
      </c>
      <c r="N2" s="1">
        <v>70.239999999999995</v>
      </c>
      <c r="O2" s="3">
        <v>14.88</v>
      </c>
    </row>
    <row r="3" spans="1:20" x14ac:dyDescent="0.3">
      <c r="A3" s="1" t="s">
        <v>1</v>
      </c>
      <c r="B3" s="1">
        <v>35.01</v>
      </c>
      <c r="C3" s="1">
        <v>69.88</v>
      </c>
      <c r="D3" s="1">
        <v>43.33</v>
      </c>
      <c r="E3" s="1">
        <v>77.89</v>
      </c>
      <c r="F3" s="1">
        <v>87.33</v>
      </c>
      <c r="G3" s="1">
        <v>79.13</v>
      </c>
      <c r="I3" s="2" t="s">
        <v>1</v>
      </c>
      <c r="J3" s="1">
        <v>35.01</v>
      </c>
      <c r="K3" s="1">
        <v>69.88</v>
      </c>
      <c r="L3" s="1">
        <v>43.33</v>
      </c>
      <c r="M3" s="1">
        <v>77.89</v>
      </c>
      <c r="N3" s="1">
        <v>87.33</v>
      </c>
      <c r="O3" s="3">
        <v>79.13</v>
      </c>
    </row>
    <row r="4" spans="1:20" x14ac:dyDescent="0.3">
      <c r="A4" s="1" t="s">
        <v>2</v>
      </c>
      <c r="B4" s="1">
        <v>8.02</v>
      </c>
      <c r="C4" s="1">
        <v>86.6</v>
      </c>
      <c r="D4" s="1">
        <v>4.83</v>
      </c>
      <c r="E4" s="1">
        <v>46.55</v>
      </c>
      <c r="F4" s="1">
        <v>56.1</v>
      </c>
      <c r="G4" s="1">
        <v>43.92</v>
      </c>
      <c r="I4" s="2" t="s">
        <v>2</v>
      </c>
      <c r="J4" s="1">
        <v>8.02</v>
      </c>
      <c r="K4" s="1">
        <v>86.6</v>
      </c>
      <c r="L4" s="1">
        <v>4.83</v>
      </c>
      <c r="M4" s="1">
        <v>46.55</v>
      </c>
      <c r="N4" s="1">
        <v>56.1</v>
      </c>
      <c r="O4" s="3">
        <v>43.92</v>
      </c>
    </row>
    <row r="5" spans="1:20" x14ac:dyDescent="0.3">
      <c r="A5" s="1" t="s">
        <v>3</v>
      </c>
      <c r="B5" s="1">
        <v>22.77</v>
      </c>
      <c r="C5" s="1">
        <v>67.709999999999994</v>
      </c>
      <c r="D5" s="1">
        <v>16.37</v>
      </c>
      <c r="E5" s="1">
        <v>24.45</v>
      </c>
      <c r="F5" s="1">
        <v>50.22</v>
      </c>
      <c r="G5" s="1">
        <v>92.49</v>
      </c>
      <c r="I5" s="2" t="s">
        <v>3</v>
      </c>
      <c r="J5" s="1">
        <v>22.77</v>
      </c>
      <c r="K5" s="1">
        <v>67.709999999999994</v>
      </c>
      <c r="L5" s="1">
        <v>16.37</v>
      </c>
      <c r="M5" s="1">
        <v>24.45</v>
      </c>
      <c r="N5" s="1">
        <v>50.22</v>
      </c>
      <c r="O5" s="3">
        <v>92.49</v>
      </c>
    </row>
    <row r="6" spans="1:20" x14ac:dyDescent="0.3">
      <c r="A6" s="1" t="s">
        <v>2</v>
      </c>
      <c r="B6" s="1">
        <v>12.6</v>
      </c>
      <c r="C6" s="1">
        <v>30.53</v>
      </c>
      <c r="D6" s="1">
        <v>78.7</v>
      </c>
      <c r="E6" s="1">
        <v>61.84</v>
      </c>
      <c r="F6" s="1">
        <v>17.059999999999999</v>
      </c>
      <c r="G6" s="1">
        <v>54.66</v>
      </c>
      <c r="I6" s="2" t="s">
        <v>2</v>
      </c>
      <c r="J6" s="1">
        <v>12.6</v>
      </c>
      <c r="K6" s="1">
        <v>30.53</v>
      </c>
      <c r="L6" s="1">
        <v>78.7</v>
      </c>
      <c r="M6" s="1">
        <v>61.84</v>
      </c>
      <c r="N6" s="1">
        <v>17.059999999999999</v>
      </c>
      <c r="O6" s="3">
        <v>54.66</v>
      </c>
    </row>
    <row r="7" spans="1:20" x14ac:dyDescent="0.3">
      <c r="A7" s="1" t="s">
        <v>1</v>
      </c>
      <c r="B7" s="1">
        <v>46.48</v>
      </c>
      <c r="C7" s="1">
        <v>87.35</v>
      </c>
      <c r="D7" s="1">
        <v>28.73</v>
      </c>
      <c r="E7" s="1">
        <v>26.93</v>
      </c>
      <c r="F7" s="1">
        <v>91.44</v>
      </c>
      <c r="G7" s="1">
        <v>17.88</v>
      </c>
      <c r="I7" s="2" t="s">
        <v>1</v>
      </c>
      <c r="J7" s="1">
        <v>46.48</v>
      </c>
      <c r="K7" s="1">
        <v>87.35</v>
      </c>
      <c r="L7" s="1">
        <v>28.73</v>
      </c>
      <c r="M7" s="1">
        <v>26.93</v>
      </c>
      <c r="N7" s="1">
        <v>91.44</v>
      </c>
      <c r="O7" s="3">
        <v>17.88</v>
      </c>
    </row>
    <row r="8" spans="1:20" x14ac:dyDescent="0.3">
      <c r="A8" s="1" t="s">
        <v>3</v>
      </c>
      <c r="B8" s="1">
        <v>21.45</v>
      </c>
      <c r="C8" s="1">
        <v>64.430000000000007</v>
      </c>
      <c r="D8" s="1">
        <v>74.209999999999994</v>
      </c>
      <c r="E8" s="1">
        <v>88.66</v>
      </c>
      <c r="F8" s="1">
        <v>43.87</v>
      </c>
      <c r="G8" s="1">
        <v>96.05</v>
      </c>
      <c r="I8" s="2" t="s">
        <v>3</v>
      </c>
      <c r="J8" s="1">
        <v>21.45</v>
      </c>
      <c r="K8" s="1">
        <v>64.430000000000007</v>
      </c>
      <c r="L8" s="1">
        <v>74.209999999999994</v>
      </c>
      <c r="M8" s="1">
        <v>88.66</v>
      </c>
      <c r="N8" s="1">
        <v>43.87</v>
      </c>
      <c r="O8" s="3">
        <v>96.05</v>
      </c>
    </row>
    <row r="9" spans="1:20" x14ac:dyDescent="0.3">
      <c r="A9" s="1" t="s">
        <v>3</v>
      </c>
      <c r="B9" s="1">
        <v>40.99</v>
      </c>
      <c r="C9" s="1">
        <v>3.6</v>
      </c>
      <c r="D9" s="1">
        <v>97.27</v>
      </c>
      <c r="E9" s="1">
        <v>46.96</v>
      </c>
      <c r="F9" s="1">
        <v>94.81</v>
      </c>
      <c r="G9" s="1">
        <v>93.33</v>
      </c>
      <c r="I9" s="2" t="s">
        <v>3</v>
      </c>
      <c r="J9" s="1">
        <v>40.99</v>
      </c>
      <c r="K9" s="1">
        <v>3.6</v>
      </c>
      <c r="L9" s="1">
        <v>97.27</v>
      </c>
      <c r="M9" s="1">
        <v>46.96</v>
      </c>
      <c r="N9" s="1">
        <v>94.81</v>
      </c>
      <c r="O9" s="3">
        <v>93.33</v>
      </c>
    </row>
    <row r="10" spans="1:20" x14ac:dyDescent="0.3">
      <c r="A10" s="1" t="s">
        <v>2</v>
      </c>
      <c r="B10" s="1">
        <v>17.59</v>
      </c>
      <c r="C10" s="1">
        <v>52.73</v>
      </c>
      <c r="D10" s="1">
        <v>11.34</v>
      </c>
      <c r="E10" s="1">
        <v>94.26</v>
      </c>
      <c r="F10" s="1">
        <v>38.6</v>
      </c>
      <c r="G10" s="1">
        <v>80.290000000000006</v>
      </c>
      <c r="I10" s="2" t="s">
        <v>2</v>
      </c>
      <c r="J10" s="1">
        <v>17.59</v>
      </c>
      <c r="K10" s="1">
        <v>52.73</v>
      </c>
      <c r="L10" s="1">
        <v>11.34</v>
      </c>
      <c r="M10" s="1">
        <v>94.26</v>
      </c>
      <c r="N10" s="1">
        <v>38.6</v>
      </c>
      <c r="O10" s="3">
        <v>80.290000000000006</v>
      </c>
    </row>
    <row r="11" spans="1:20" x14ac:dyDescent="0.3">
      <c r="A11" s="1" t="s">
        <v>1</v>
      </c>
      <c r="B11" s="1">
        <v>46.86</v>
      </c>
      <c r="C11" s="1">
        <v>83.67</v>
      </c>
      <c r="D11" s="1">
        <v>80.23</v>
      </c>
      <c r="E11" s="1">
        <v>47.6</v>
      </c>
      <c r="F11" s="1">
        <v>35.71</v>
      </c>
      <c r="G11" s="1">
        <v>58.48</v>
      </c>
      <c r="I11" s="2" t="s">
        <v>1</v>
      </c>
      <c r="J11" s="1">
        <v>46.86</v>
      </c>
      <c r="K11" s="1">
        <v>83.67</v>
      </c>
      <c r="L11" s="1">
        <v>80.23</v>
      </c>
      <c r="M11" s="1">
        <v>47.6</v>
      </c>
      <c r="N11" s="1">
        <v>35.71</v>
      </c>
      <c r="O11" s="3">
        <v>58.48</v>
      </c>
    </row>
    <row r="12" spans="1:20" x14ac:dyDescent="0.3">
      <c r="A12" s="1" t="s">
        <v>1</v>
      </c>
      <c r="B12" s="1">
        <v>30.11</v>
      </c>
      <c r="C12" s="1">
        <v>70.37</v>
      </c>
      <c r="D12" s="1">
        <v>4.92</v>
      </c>
      <c r="E12" s="1">
        <v>41.51</v>
      </c>
      <c r="F12" s="1">
        <v>14.83</v>
      </c>
      <c r="G12" s="1">
        <v>64.61</v>
      </c>
      <c r="I12" s="7" t="s">
        <v>1</v>
      </c>
      <c r="J12" s="8">
        <v>30.11</v>
      </c>
      <c r="K12" s="8">
        <v>70.37</v>
      </c>
      <c r="L12" s="8">
        <v>4.92</v>
      </c>
      <c r="M12" s="8">
        <v>41.51</v>
      </c>
      <c r="N12" s="8">
        <v>14.83</v>
      </c>
      <c r="O12" s="9">
        <v>64.61</v>
      </c>
    </row>
    <row r="14" spans="1:20" x14ac:dyDescent="0.3">
      <c r="A14" s="1" t="s">
        <v>12</v>
      </c>
      <c r="B14">
        <f>SUMIF($A$2:$A$12,"A",B$2:B$12)</f>
        <v>215.23000000000002</v>
      </c>
      <c r="C14">
        <f t="shared" ref="C14:G14" si="0">SUMIF($A$2:$A$12,"A",C$2:C$12)</f>
        <v>390.62</v>
      </c>
      <c r="D14">
        <f t="shared" si="0"/>
        <v>194.52</v>
      </c>
      <c r="E14">
        <f t="shared" si="0"/>
        <v>211.98999999999998</v>
      </c>
      <c r="F14">
        <f t="shared" si="0"/>
        <v>299.54999999999995</v>
      </c>
      <c r="G14">
        <f t="shared" si="0"/>
        <v>234.97999999999996</v>
      </c>
      <c r="I14" s="1" t="s">
        <v>12</v>
      </c>
      <c r="J14">
        <f>SUMIF(Table2[[类型]:[类型]],"A",Table2[一月])</f>
        <v>215.23000000000002</v>
      </c>
      <c r="K14">
        <f>SUMIF(Table2[[类型]:[类型]],"A",Table2[二月])</f>
        <v>390.62</v>
      </c>
      <c r="L14">
        <f>SUMIF(Table2[[类型]:[类型]],"A",Table2[三月])</f>
        <v>194.52</v>
      </c>
      <c r="M14">
        <f>SUMIF(Table2[[类型]:[类型]],"A",Table2[四月])</f>
        <v>211.98999999999998</v>
      </c>
      <c r="N14">
        <f>SUMIF(Table2[[类型]:[类型]],"A",Table2[五月])</f>
        <v>299.54999999999995</v>
      </c>
      <c r="O14">
        <f>SUMIF(Table2[[类型]:[类型]],"A",Table2[六月])</f>
        <v>234.97999999999996</v>
      </c>
      <c r="R14">
        <f>SUM(Table2[[五月]:[六月]])</f>
        <v>1295.9299999999998</v>
      </c>
      <c r="S14">
        <f>SUM(Table2[[五月]:[六月]])</f>
        <v>1295.9299999999998</v>
      </c>
      <c r="T14">
        <f>SUM(Table2[[五月]:[六月]])</f>
        <v>1295.9299999999998</v>
      </c>
    </row>
    <row r="15" spans="1:20" x14ac:dyDescent="0.3">
      <c r="A15" s="1" t="s">
        <v>10</v>
      </c>
      <c r="B15">
        <f>SUMIF($A$2:$A$12,"B",B$2:B$12)</f>
        <v>38.209999999999994</v>
      </c>
      <c r="C15">
        <f t="shared" ref="C15:G15" si="1">SUMIF($A$2:$A$12,"B",C$2:C$12)</f>
        <v>169.85999999999999</v>
      </c>
      <c r="D15">
        <f t="shared" si="1"/>
        <v>94.87</v>
      </c>
      <c r="E15">
        <f t="shared" si="1"/>
        <v>202.65</v>
      </c>
      <c r="F15">
        <f t="shared" si="1"/>
        <v>111.75999999999999</v>
      </c>
      <c r="G15">
        <f>SUMIF($A$2:$A$12,"B",G$2:G$12)</f>
        <v>178.87</v>
      </c>
      <c r="I15" s="1" t="s">
        <v>10</v>
      </c>
      <c r="J15">
        <f>SUMIF(Table2[[类型]:[类型]],"B",Table2[一月])</f>
        <v>38.209999999999994</v>
      </c>
      <c r="K15">
        <f>SUMIF(Table2[[类型]:[类型]],"B",Table2[二月])</f>
        <v>169.85999999999999</v>
      </c>
      <c r="L15">
        <f>SUMIF(Table2[[类型]:[类型]],"B",Table2[三月])</f>
        <v>94.87</v>
      </c>
      <c r="M15">
        <f>SUMIF(Table2[[类型]:[类型]],"B",Table2[四月])</f>
        <v>202.65</v>
      </c>
      <c r="N15">
        <f>SUMIF(Table2[[类型]:[类型]],"B",Table2[五月])</f>
        <v>111.75999999999999</v>
      </c>
      <c r="O15">
        <f>SUMIF(Table2[[类型]:[类型]],"B",Table2[六月])</f>
        <v>178.87</v>
      </c>
    </row>
    <row r="16" spans="1:20" x14ac:dyDescent="0.3">
      <c r="A16" s="1" t="s">
        <v>11</v>
      </c>
      <c r="B16">
        <f>SUMIF($A$2:$A$12,"C",B$2:B$12)</f>
        <v>85.210000000000008</v>
      </c>
      <c r="C16">
        <f t="shared" ref="C16:G16" si="2">SUMIF($A$2:$A$12,"C",C$2:C$12)</f>
        <v>135.73999999999998</v>
      </c>
      <c r="D16">
        <f t="shared" si="2"/>
        <v>187.85</v>
      </c>
      <c r="E16">
        <f t="shared" si="2"/>
        <v>160.07</v>
      </c>
      <c r="F16">
        <f t="shared" si="2"/>
        <v>188.9</v>
      </c>
      <c r="G16">
        <f t="shared" si="2"/>
        <v>281.87</v>
      </c>
      <c r="I16" s="1" t="s">
        <v>11</v>
      </c>
      <c r="J16">
        <f>SUMIF(Table2[[类型]:[类型]],"C",Table2[一月])</f>
        <v>85.210000000000008</v>
      </c>
      <c r="K16">
        <f>SUMIF(Table2[[类型]:[类型]],"C",Table2[二月])</f>
        <v>135.73999999999998</v>
      </c>
      <c r="L16">
        <f>SUMIF(Table2[[类型]:[类型]],"C",Table2[三月])</f>
        <v>187.85</v>
      </c>
      <c r="M16">
        <f>SUMIF(Table2[[类型]:[类型]],"C",Table2[四月])</f>
        <v>160.07</v>
      </c>
      <c r="N16">
        <f>SUMIF(Table2[[类型]:[类型]],"C",Table2[五月])</f>
        <v>188.9</v>
      </c>
      <c r="O16">
        <f>SUMIF(Table2[[类型]:[类型]],"C",Table2[六月])</f>
        <v>281.87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2026-01-29T13:06:39Z</dcterms:created>
  <dcterms:modified xsi:type="dcterms:W3CDTF">2026-01-30T11:40:26Z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2026-01-30T11:39:55Z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c48366f3-31cd-45cc-bc50-aa20155018b8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